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item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'Sales'!$H$2:$H$6</f>
            </numRef>
          </cat>
          <val>
            <numRef>
              <f>'Sales'!$I$2:$I$6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Price (Le)</t>
        </is>
      </c>
      <c r="D1" s="1" t="inlineStr">
        <is>
          <t>Quantity</t>
        </is>
      </c>
      <c r="E1" s="1" t="inlineStr">
        <is>
          <t>Total (Le)</t>
        </is>
      </c>
      <c r="F1" s="1" t="inlineStr">
        <is>
          <t>Big sale?</t>
        </is>
      </c>
      <c r="I1" t="inlineStr">
        <is>
          <t>Threshold</t>
        </is>
      </c>
      <c r="J1" t="n">
        <v>1000</v>
      </c>
    </row>
    <row r="2">
      <c r="A2" s="2" t="n">
        <v>46296</v>
      </c>
      <c r="B2" s="3" t="inlineStr">
        <is>
          <t>Rice</t>
        </is>
      </c>
      <c r="C2" s="3" t="n">
        <v>150</v>
      </c>
      <c r="D2" s="3" t="n">
        <v>2</v>
      </c>
      <c r="E2" s="4">
        <f>C2*D2</f>
        <v/>
      </c>
      <c r="F2" s="3">
        <f>IF(E2&gt;=$J$1,"Yes","No")</f>
        <v/>
      </c>
      <c r="H2" t="inlineStr">
        <is>
          <t>Rice</t>
        </is>
      </c>
      <c r="I2">
        <f>SUMIF(B2:B16,H2,E2:E16)</f>
        <v/>
      </c>
    </row>
    <row r="3">
      <c r="A3" s="2" t="n">
        <v>46297</v>
      </c>
      <c r="B3" s="3" t="inlineStr">
        <is>
          <t>Oil</t>
        </is>
      </c>
      <c r="C3" s="3" t="n">
        <v>300</v>
      </c>
      <c r="D3" s="3" t="n">
        <v>3</v>
      </c>
      <c r="E3" s="4">
        <f>C3*D3</f>
        <v/>
      </c>
      <c r="F3" s="3">
        <f>IF(E3&gt;=$J$1,"Yes","No")</f>
        <v/>
      </c>
      <c r="H3" t="inlineStr">
        <is>
          <t>Oil</t>
        </is>
      </c>
      <c r="I3">
        <f>SUMIF(B2:B16,H3,E2:E16)</f>
        <v/>
      </c>
    </row>
    <row r="4">
      <c r="A4" s="2" t="n">
        <v>46298</v>
      </c>
      <c r="B4" s="3" t="inlineStr">
        <is>
          <t>Sugar</t>
        </is>
      </c>
      <c r="C4" s="3" t="n">
        <v>80</v>
      </c>
      <c r="D4" s="3" t="n">
        <v>4</v>
      </c>
      <c r="E4" s="4">
        <f>C4*D4</f>
        <v/>
      </c>
      <c r="F4" s="3">
        <f>IF(E4&gt;=$J$1,"Yes","No")</f>
        <v/>
      </c>
      <c r="H4" t="inlineStr">
        <is>
          <t>Sugar</t>
        </is>
      </c>
      <c r="I4">
        <f>SUMIF(B2:B16,H4,E2:E16)</f>
        <v/>
      </c>
    </row>
    <row r="5">
      <c r="A5" s="2" t="n">
        <v>46299</v>
      </c>
      <c r="B5" s="3" t="inlineStr">
        <is>
          <t>Soap</t>
        </is>
      </c>
      <c r="C5" s="3" t="n">
        <v>50</v>
      </c>
      <c r="D5" s="3" t="n">
        <v>5</v>
      </c>
      <c r="E5" s="4">
        <f>C5*D5</f>
        <v/>
      </c>
      <c r="F5" s="3">
        <f>IF(E5&gt;=$J$1,"Yes","No")</f>
        <v/>
      </c>
      <c r="H5" t="inlineStr">
        <is>
          <t>Soap</t>
        </is>
      </c>
      <c r="I5">
        <f>SUMIF(B2:B16,H5,E2:E16)</f>
        <v/>
      </c>
    </row>
    <row r="6">
      <c r="A6" s="2" t="n">
        <v>46300</v>
      </c>
      <c r="B6" s="3" t="inlineStr">
        <is>
          <t>Milk</t>
        </is>
      </c>
      <c r="C6" s="3" t="n">
        <v>120</v>
      </c>
      <c r="D6" s="3" t="n">
        <v>2</v>
      </c>
      <c r="E6" s="4">
        <f>C6*D6</f>
        <v/>
      </c>
      <c r="F6" s="3">
        <f>IF(E6&gt;=$J$1,"Yes","No")</f>
        <v/>
      </c>
      <c r="H6" t="inlineStr">
        <is>
          <t>Milk</t>
        </is>
      </c>
      <c r="I6">
        <f>SUMIF(B2:B16,H6,E2:E16)</f>
        <v/>
      </c>
    </row>
    <row r="7">
      <c r="A7" s="2" t="n">
        <v>46301</v>
      </c>
      <c r="B7" s="3" t="inlineStr">
        <is>
          <t>Rice</t>
        </is>
      </c>
      <c r="C7" s="3" t="n">
        <v>150</v>
      </c>
      <c r="D7" s="3" t="n">
        <v>3</v>
      </c>
      <c r="E7" s="4">
        <f>C7*D7</f>
        <v/>
      </c>
      <c r="F7" s="3">
        <f>IF(E7&gt;=$J$1,"Yes","No")</f>
        <v/>
      </c>
    </row>
    <row r="8">
      <c r="A8" s="2" t="n">
        <v>46302</v>
      </c>
      <c r="B8" s="3" t="inlineStr">
        <is>
          <t>Oil</t>
        </is>
      </c>
      <c r="C8" s="3" t="n">
        <v>300</v>
      </c>
      <c r="D8" s="3" t="n">
        <v>4</v>
      </c>
      <c r="E8" s="4">
        <f>C8*D8</f>
        <v/>
      </c>
      <c r="F8" s="3">
        <f>IF(E8&gt;=$J$1,"Yes","No")</f>
        <v/>
      </c>
    </row>
    <row r="9">
      <c r="A9" s="2" t="n">
        <v>46303</v>
      </c>
      <c r="B9" s="3" t="inlineStr">
        <is>
          <t>Sugar</t>
        </is>
      </c>
      <c r="C9" s="3" t="n">
        <v>80</v>
      </c>
      <c r="D9" s="3" t="n">
        <v>5</v>
      </c>
      <c r="E9" s="4">
        <f>C9*D9</f>
        <v/>
      </c>
      <c r="F9" s="3">
        <f>IF(E9&gt;=$J$1,"Yes","No")</f>
        <v/>
      </c>
    </row>
    <row r="10">
      <c r="A10" s="2" t="n">
        <v>46304</v>
      </c>
      <c r="B10" s="3" t="inlineStr">
        <is>
          <t>Soap</t>
        </is>
      </c>
      <c r="C10" s="3" t="n">
        <v>50</v>
      </c>
      <c r="D10" s="3" t="n">
        <v>2</v>
      </c>
      <c r="E10" s="4">
        <f>C10*D10</f>
        <v/>
      </c>
      <c r="F10" s="3">
        <f>IF(E10&gt;=$J$1,"Yes","No")</f>
        <v/>
      </c>
    </row>
    <row r="11">
      <c r="A11" s="2" t="n">
        <v>46305</v>
      </c>
      <c r="B11" s="3" t="inlineStr">
        <is>
          <t>Milk</t>
        </is>
      </c>
      <c r="C11" s="3" t="n">
        <v>120</v>
      </c>
      <c r="D11" s="3" t="n">
        <v>3</v>
      </c>
      <c r="E11" s="4">
        <f>C11*D11</f>
        <v/>
      </c>
      <c r="F11" s="3">
        <f>IF(E11&gt;=$J$1,"Yes","No")</f>
        <v/>
      </c>
    </row>
    <row r="12">
      <c r="A12" s="2" t="n">
        <v>46306</v>
      </c>
      <c r="B12" s="3" t="inlineStr">
        <is>
          <t>Rice</t>
        </is>
      </c>
      <c r="C12" s="3" t="n">
        <v>150</v>
      </c>
      <c r="D12" s="3" t="n">
        <v>4</v>
      </c>
      <c r="E12" s="4">
        <f>C12*D12</f>
        <v/>
      </c>
      <c r="F12" s="3">
        <f>IF(E12&gt;=$J$1,"Yes","No")</f>
        <v/>
      </c>
    </row>
    <row r="13">
      <c r="A13" s="2" t="n">
        <v>46307</v>
      </c>
      <c r="B13" s="3" t="inlineStr">
        <is>
          <t>Oil</t>
        </is>
      </c>
      <c r="C13" s="3" t="n">
        <v>300</v>
      </c>
      <c r="D13" s="3" t="n">
        <v>5</v>
      </c>
      <c r="E13" s="4">
        <f>C13*D13</f>
        <v/>
      </c>
      <c r="F13" s="3">
        <f>IF(E13&gt;=$J$1,"Yes","No")</f>
        <v/>
      </c>
    </row>
    <row r="14">
      <c r="A14" s="2" t="n">
        <v>46308</v>
      </c>
      <c r="B14" s="3" t="inlineStr">
        <is>
          <t>Sugar</t>
        </is>
      </c>
      <c r="C14" s="3" t="n">
        <v>80</v>
      </c>
      <c r="D14" s="3" t="n">
        <v>2</v>
      </c>
      <c r="E14" s="4">
        <f>C14*D14</f>
        <v/>
      </c>
      <c r="F14" s="3">
        <f>IF(E14&gt;=$J$1,"Yes","No")</f>
        <v/>
      </c>
    </row>
    <row r="15">
      <c r="A15" s="2" t="n">
        <v>46309</v>
      </c>
      <c r="B15" s="3" t="inlineStr">
        <is>
          <t>Soap</t>
        </is>
      </c>
      <c r="C15" s="3" t="n">
        <v>50</v>
      </c>
      <c r="D15" s="3" t="n">
        <v>3</v>
      </c>
      <c r="E15" s="4">
        <f>C15*D15</f>
        <v/>
      </c>
      <c r="F15" s="3">
        <f>IF(E15&gt;=$J$1,"Yes","No")</f>
        <v/>
      </c>
    </row>
    <row r="16">
      <c r="A16" s="2" t="n">
        <v>46310</v>
      </c>
      <c r="B16" s="3" t="inlineStr">
        <is>
          <t>Milk</t>
        </is>
      </c>
      <c r="C16" s="3" t="n">
        <v>120</v>
      </c>
      <c r="D16" s="3" t="n">
        <v>4</v>
      </c>
      <c r="E16" s="4">
        <f>C16*D16</f>
        <v/>
      </c>
      <c r="F16" s="3">
        <f>IF(E16&gt;=$J$1,"Yes","No")</f>
        <v/>
      </c>
    </row>
    <row r="18">
      <c r="A18" t="inlineStr">
        <is>
          <t>Total sales</t>
        </is>
      </c>
      <c r="E18">
        <f>SUM(E2:E16)</f>
        <v/>
      </c>
    </row>
    <row r="19">
      <c r="A19" t="inlineStr">
        <is>
          <t>Average sale</t>
        </is>
      </c>
      <c r="E19">
        <f>AVERAGE(E2:E16)</f>
        <v/>
      </c>
    </row>
    <row r="20">
      <c r="A20" t="inlineStr">
        <is>
          <t>Biggest sale</t>
        </is>
      </c>
      <c r="E20">
        <f>MAX(E2:E16)</f>
        <v/>
      </c>
    </row>
    <row r="21">
      <c r="A21" t="inlineStr">
        <is>
          <t>Number of sales</t>
        </is>
      </c>
      <c r="E21">
        <f>COUNT(E2:E16)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2026-10-23T19:46:44Z</dcterms:created>
  <dcterms:modified xmlns:dcterms="http://purl.org/dc/terms/" xmlns:xsi="http://www.w3.org/2001/XMLSchema-instance" xsi:type="dcterms:W3CDTF">2026-10-23T19:46:44Z</dcterms:modified>
</cp:coreProperties>
</file>